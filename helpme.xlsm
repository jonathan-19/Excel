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PORTE 2\Documents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1" l="1"/>
  <c r="I25" i="1" l="1"/>
  <c r="I31" i="1"/>
  <c r="I32" i="1"/>
  <c r="I17" i="1"/>
  <c r="I30" i="1"/>
  <c r="I29" i="1"/>
</calcChain>
</file>

<file path=xl/sharedStrings.xml><?xml version="1.0" encoding="utf-8"?>
<sst xmlns="http://schemas.openxmlformats.org/spreadsheetml/2006/main" count="108" uniqueCount="58">
  <si>
    <t xml:space="preserve"> EJIDO OPOPEO</t>
  </si>
  <si>
    <t xml:space="preserve"> ADT Private </t>
  </si>
  <si>
    <t xml:space="preserve"> AT&amp;T COMUNICACIONES</t>
  </si>
  <si>
    <t xml:space="preserve"> CFE SUMINISTRADOR  </t>
  </si>
  <si>
    <t xml:space="preserve"> RADIOMOVIL DIPSA </t>
  </si>
  <si>
    <t xml:space="preserve"> SERGIO ARTURO </t>
  </si>
  <si>
    <t xml:space="preserve"> SERVICIO RETO </t>
  </si>
  <si>
    <t>AT&amp;T</t>
  </si>
  <si>
    <t>RADIOMOVIL</t>
  </si>
  <si>
    <t xml:space="preserve">SERVICIO 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</si>
  <si>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</si>
  <si>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</si>
  <si>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</si>
  <si>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</si>
  <si>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</si>
  <si>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</si>
  <si>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</si>
  <si>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</si>
  <si>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FRG56</t>
  </si>
  <si>
    <t>FRG57</t>
  </si>
  <si>
    <t>FRG58</t>
  </si>
  <si>
    <t>FRG59</t>
  </si>
  <si>
    <t>JKL567</t>
  </si>
  <si>
    <t>HGL123</t>
  </si>
  <si>
    <t>HGL124</t>
  </si>
  <si>
    <t>LOI564</t>
  </si>
  <si>
    <t>LOI565</t>
  </si>
  <si>
    <t>GTY544</t>
  </si>
  <si>
    <t>GTY545</t>
  </si>
  <si>
    <t>GTY546</t>
  </si>
  <si>
    <t>RYH89</t>
  </si>
  <si>
    <t>RYH90</t>
  </si>
  <si>
    <t>RYH91</t>
  </si>
  <si>
    <t>RYH92</t>
  </si>
  <si>
    <t>RYH93</t>
  </si>
  <si>
    <t>RYH94</t>
  </si>
  <si>
    <t>RYH95</t>
  </si>
  <si>
    <t>RYH96</t>
  </si>
  <si>
    <t>ASE234</t>
  </si>
  <si>
    <t>ASE235</t>
  </si>
  <si>
    <t>ASE236</t>
  </si>
  <si>
    <t>ASE237</t>
  </si>
  <si>
    <t>21/Dic/2018</t>
  </si>
  <si>
    <t>BANORTE</t>
  </si>
  <si>
    <t>31/Dic/2018</t>
  </si>
  <si>
    <t>07/Dic/2018</t>
  </si>
  <si>
    <t>Diario</t>
  </si>
  <si>
    <t>28/Dic/2018</t>
  </si>
  <si>
    <t>05/Dic/2018</t>
  </si>
  <si>
    <t>18/Dic/2018</t>
  </si>
  <si>
    <t>30/Dic/2018</t>
  </si>
  <si>
    <t>19/Dic/2018</t>
  </si>
  <si>
    <t>10/Dic/2018</t>
  </si>
  <si>
    <t>26/Dic/2018</t>
  </si>
  <si>
    <t>27/Dic/2018</t>
  </si>
  <si>
    <t>04/Dic/2018</t>
  </si>
  <si>
    <t>20/Dic/2018</t>
  </si>
  <si>
    <t>LISTA A COMPARAR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</si>
</sst>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"/>
      <name val="Arial"/>
      <family val="2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9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1" fillId="0" borderId="1" xfId="0" applyNumberFormat="1" applyFont="1" applyFill="1" applyBorder="1" applyAlignment="1">
      <alignment horizontal="left" vertical="top"/>
    </xf>
    <xf numFmtId="0" fontId="0" fillId="0" borderId="0" xfId="0" applyFill="1"/>
    <xf numFmtId="4" fontId="1" fillId="0" borderId="1" xfId="0" applyNumberFormat="1" applyFont="1" applyFill="1" applyBorder="1" applyAlignment="1">
      <alignment horizontal="right" vertical="top"/>
    </xf>
    <xf numFmtId="49" fontId="3" fillId="0" borderId="1" xfId="0" applyNumberFormat="1" applyFont="1" applyFill="1" applyBorder="1" applyAlignment="1">
      <alignment horizontal="left" vertical="top"/>
    </xf>
    <xf numFmtId="4" fontId="4" fillId="0" borderId="1" xfId="0" applyNumberFormat="1" applyFont="1" applyFill="1" applyBorder="1" applyAlignment="1">
      <alignment horizontal="right" vertical="top"/>
    </xf>
    <xf numFmtId="0" fontId="2" fillId="2" borderId="0" xfId="0" applyFont="1" applyFill="1"/>
    <xf numFmtId="49" fontId="1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Fill="1" applyBorder="1" applyAlignment="1">
      <alignment horizontal="left" vertical="top"/>
    </xf>
    <xf numFmtId="4" fontId="1" fillId="0" borderId="0" xfId="0" applyNumberFormat="1" applyFont="1" applyFill="1" applyBorder="1" applyAlignment="1">
      <alignment horizontal="right" vertical="top"/>
    </xf>
    <xf numFmtId="0" fontId="0" fillId="0" borderId="0" xfId="0" applyFill="1" applyBorder="1"/>
    <xf numFmtId="49" fontId="1" fillId="0" borderId="2" xfId="0" applyNumberFormat="1" applyFont="1" applyFill="1" applyBorder="1" applyAlignment="1">
      <alignment horizontal="left" vertical="top"/>
    </xf>
    <xf numFmtId="49" fontId="1" fillId="0" borderId="3" xfId="0" applyNumberFormat="1" applyFont="1" applyFill="1" applyBorder="1" applyAlignment="1">
      <alignment horizontal="left" vertical="top"/>
    </xf>
    <xf numFmtId="0" fontId="0" fillId="0" borderId="1" xfId="0" applyFill="1" applyBorder="1"/>
    <xf numFmtId="49" fontId="3" fillId="0" borderId="0" xfId="0" applyNumberFormat="1" applyFont="1" applyFill="1" applyBorder="1" applyAlignment="1">
      <alignment horizontal="right" vertical="top"/>
    </xf>
    <xf numFmtId="49" fontId="3" fillId="0" borderId="1" xfId="0" applyNumberFormat="1" applyFont="1" applyFill="1" applyBorder="1" applyAlignment="1">
      <alignment horizontal="center" vertical="top"/>
    </xf>
    <xf numFmtId="49" fontId="3" fillId="0" borderId="2" xfId="0" applyNumberFormat="1" applyFont="1" applyFill="1" applyBorder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9525</xdr:rowOff>
        </xdr:from>
        <xdr:to>
          <xdr:col>15</xdr:col>
          <xdr:colOff>9525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42"/>
  <sheetViews>
    <sheetView tabSelected="1" workbookViewId="0">
      <selection activeCell="I10" sqref="I10"/>
    </sheetView>
  </sheetViews>
  <sheetFormatPr baseColWidth="10" defaultRowHeight="15" x14ac:dyDescent="0.25"/>
  <cols>
    <col min="4" max="4" width="42.5703125" bestFit="1" customWidth="1"/>
    <col min="7" max="7" width="12.5703125" bestFit="1" customWidth="1"/>
    <col min="12" max="12" width="18.28515625" bestFit="1" customWidth="1"/>
  </cols>
  <sheetData>
    <row r="1" spans="1:12" x14ac:dyDescent="0.25">
      <c r="L1" s="6" t="s">
        <v>57</v>
      </c>
    </row>
    <row r="2" spans="1:12" x14ac:dyDescent="0.25">
      <c r="L2" t="s">
        <v>7</v>
      </c>
    </row>
    <row r="3" spans="1:12" x14ac:dyDescent="0.25">
      <c r="L3" t="s">
        <v>8</v>
      </c>
    </row>
    <row r="4" spans="1:12" x14ac:dyDescent="0.25">
      <c r="L4" t="s">
        <v>9</v>
      </c>
    </row>
    <row r="6" spans="1:12" x14ac:dyDescent="0.25">
      <c r="I6" s="2"/>
    </row>
    <row r="7" spans="1:12" x14ac:dyDescent="0.25">
      <c r="I7" s="2"/>
    </row>
    <row r="8" spans="1:12" x14ac:dyDescent="0.25">
      <c r="I8" s="2"/>
    </row>
    <row r="10" spans="1:12" x14ac:dyDescent="0.25">
      <c r="A10" s="4" t="s">
        <v>10</v>
      </c>
      <c r="B10" s="4" t="s">
        <v>11</v>
      </c>
      <c r="C10" s="14" t="s">
        <v>12</v>
      </c>
      <c r="D10" s="15" t="s">
        <v>13</v>
      </c>
      <c r="E10" s="8" t="s">
        <v>14</v>
      </c>
      <c r="F10" s="14" t="s">
        <v>15</v>
      </c>
      <c r="G10" s="14" t="s">
        <v>16</v>
      </c>
      <c r="H10" s="16" t="s">
        <v>17</v>
      </c>
      <c r="I10" s="10"/>
    </row>
    <row r="11" spans="1:12" x14ac:dyDescent="0.25">
      <c r="A11" s="1" t="s">
        <v>55</v>
      </c>
      <c r="B11" s="11" t="s">
        <v>46</v>
      </c>
      <c r="C11" s="10">
        <v>15</v>
      </c>
      <c r="D11" s="12" t="s">
        <v>5</v>
      </c>
      <c r="E11" s="2" t="s">
        <v>35</v>
      </c>
      <c r="F11" s="13"/>
      <c r="G11" s="2"/>
      <c r="H11" s="3">
        <v>6984.42</v>
      </c>
      <c r="I11" s="2"/>
    </row>
    <row r="12" spans="1:12" x14ac:dyDescent="0.25">
      <c r="A12" s="7" t="s">
        <v>48</v>
      </c>
      <c r="B12" s="7" t="s">
        <v>46</v>
      </c>
      <c r="C12" s="2">
        <v>13</v>
      </c>
      <c r="D12" s="7" t="s">
        <v>3</v>
      </c>
      <c r="E12" s="2" t="s">
        <v>23</v>
      </c>
      <c r="F12" s="2">
        <v>4000</v>
      </c>
      <c r="G12" s="2"/>
      <c r="H12" s="9">
        <v>7114.54</v>
      </c>
    </row>
    <row r="13" spans="1:12" x14ac:dyDescent="0.25">
      <c r="A13" s="7" t="s">
        <v>45</v>
      </c>
      <c r="B13" s="7" t="s">
        <v>46</v>
      </c>
      <c r="C13" s="2">
        <v>25</v>
      </c>
      <c r="D13" s="7" t="s">
        <v>1</v>
      </c>
      <c r="E13" s="2" t="s">
        <v>20</v>
      </c>
      <c r="F13" s="2"/>
      <c r="G13" s="2">
        <v>1200</v>
      </c>
      <c r="H13" s="9">
        <v>5294.85</v>
      </c>
    </row>
    <row r="14" spans="1:12" x14ac:dyDescent="0.25">
      <c r="A14" s="7" t="s">
        <v>45</v>
      </c>
      <c r="B14" s="7" t="s">
        <v>46</v>
      </c>
      <c r="C14" s="10">
        <v>15</v>
      </c>
      <c r="D14" s="7" t="s">
        <v>5</v>
      </c>
      <c r="E14" s="10" t="s">
        <v>30</v>
      </c>
      <c r="F14" s="9">
        <v>6455.4</v>
      </c>
      <c r="G14" s="10"/>
      <c r="H14" s="9">
        <v>4214.57</v>
      </c>
    </row>
    <row r="15" spans="1:12" x14ac:dyDescent="0.25">
      <c r="A15" s="1" t="s">
        <v>52</v>
      </c>
      <c r="B15" s="1" t="s">
        <v>43</v>
      </c>
      <c r="C15" s="13">
        <v>15</v>
      </c>
      <c r="D15" s="1" t="s">
        <v>5</v>
      </c>
      <c r="E15" s="13" t="s">
        <v>31</v>
      </c>
      <c r="F15" s="4"/>
      <c r="G15" s="13">
        <v>20000</v>
      </c>
      <c r="H15" s="3">
        <v>1783.48</v>
      </c>
    </row>
    <row r="16" spans="1:12" x14ac:dyDescent="0.25">
      <c r="A16" s="1" t="s">
        <v>49</v>
      </c>
      <c r="B16" s="1" t="s">
        <v>43</v>
      </c>
      <c r="C16" s="2">
        <v>13</v>
      </c>
      <c r="D16" s="1" t="s">
        <v>3</v>
      </c>
      <c r="E16" s="2" t="s">
        <v>24</v>
      </c>
      <c r="F16" s="2"/>
      <c r="G16" s="2"/>
      <c r="H16" s="5">
        <v>-3448.9</v>
      </c>
    </row>
    <row r="17" spans="1:9" x14ac:dyDescent="0.25">
      <c r="A17" s="1" t="s">
        <v>49</v>
      </c>
      <c r="B17" s="1" t="s">
        <v>43</v>
      </c>
      <c r="C17" s="2">
        <v>7</v>
      </c>
      <c r="D17" s="1" t="s">
        <v>4</v>
      </c>
      <c r="E17" s="2" t="s">
        <v>27</v>
      </c>
      <c r="F17" s="2">
        <v>1900</v>
      </c>
      <c r="G17" s="2"/>
      <c r="H17" s="3">
        <v>4682.1000000000004</v>
      </c>
      <c r="I17" s="2" t="str">
        <f>IFERROR(INDEX(ListarHojas,ROW()),"")</f>
        <v/>
      </c>
    </row>
    <row r="18" spans="1:9" x14ac:dyDescent="0.25">
      <c r="A18" s="1" t="s">
        <v>49</v>
      </c>
      <c r="B18" s="1" t="s">
        <v>46</v>
      </c>
      <c r="C18" s="2">
        <v>15</v>
      </c>
      <c r="D18" s="1" t="s">
        <v>5</v>
      </c>
      <c r="E18" s="2" t="s">
        <v>36</v>
      </c>
      <c r="F18" s="2"/>
      <c r="G18" s="2"/>
      <c r="H18" s="3">
        <v>4226.1000000000004</v>
      </c>
    </row>
    <row r="19" spans="1:9" x14ac:dyDescent="0.25">
      <c r="A19" s="1" t="s">
        <v>51</v>
      </c>
      <c r="B19" s="1" t="s">
        <v>46</v>
      </c>
      <c r="C19" s="2">
        <v>7</v>
      </c>
      <c r="D19" s="1" t="s">
        <v>4</v>
      </c>
      <c r="E19" s="2" t="s">
        <v>28</v>
      </c>
      <c r="F19" s="2">
        <v>1900</v>
      </c>
      <c r="G19" s="2"/>
      <c r="H19" s="3">
        <v>6360.58</v>
      </c>
    </row>
    <row r="20" spans="1:9" x14ac:dyDescent="0.25">
      <c r="A20" s="1" t="s">
        <v>51</v>
      </c>
      <c r="B20" s="1" t="s">
        <v>43</v>
      </c>
      <c r="C20" s="2">
        <v>7</v>
      </c>
      <c r="D20" s="1" t="s">
        <v>4</v>
      </c>
      <c r="E20" s="2" t="s">
        <v>29</v>
      </c>
      <c r="F20" s="2"/>
      <c r="G20" s="2"/>
      <c r="H20" s="3">
        <v>4614.6000000000004</v>
      </c>
    </row>
    <row r="21" spans="1:9" x14ac:dyDescent="0.25">
      <c r="A21" s="1" t="s">
        <v>51</v>
      </c>
      <c r="B21" s="1" t="s">
        <v>46</v>
      </c>
      <c r="C21" s="2">
        <v>15</v>
      </c>
      <c r="D21" s="1" t="s">
        <v>5</v>
      </c>
      <c r="E21" s="2" t="s">
        <v>37</v>
      </c>
      <c r="F21" s="2"/>
      <c r="G21" s="2"/>
      <c r="H21" s="5">
        <v>-1183.42</v>
      </c>
    </row>
    <row r="22" spans="1:9" x14ac:dyDescent="0.25">
      <c r="A22" s="1" t="s">
        <v>56</v>
      </c>
      <c r="B22" s="1" t="s">
        <v>43</v>
      </c>
      <c r="C22" s="2">
        <v>15</v>
      </c>
      <c r="D22" s="1" t="s">
        <v>6</v>
      </c>
      <c r="E22" s="2" t="s">
        <v>38</v>
      </c>
      <c r="F22" s="9">
        <v>820.49</v>
      </c>
      <c r="G22" s="2"/>
      <c r="H22" s="3">
        <v>5393.18</v>
      </c>
    </row>
    <row r="23" spans="1:9" x14ac:dyDescent="0.25">
      <c r="A23" s="1" t="s">
        <v>42</v>
      </c>
      <c r="B23" s="1" t="s">
        <v>43</v>
      </c>
      <c r="C23" s="2">
        <v>25</v>
      </c>
      <c r="D23" s="1" t="s">
        <v>1</v>
      </c>
      <c r="E23" s="2" t="s">
        <v>18</v>
      </c>
      <c r="F23" s="2">
        <v>1500</v>
      </c>
      <c r="G23" s="2"/>
      <c r="H23" s="3">
        <f>+G23</f>
        <v>0</v>
      </c>
    </row>
    <row r="24" spans="1:9" x14ac:dyDescent="0.25">
      <c r="A24" s="1" t="s">
        <v>42</v>
      </c>
      <c r="B24" s="1" t="s">
        <v>46</v>
      </c>
      <c r="C24" s="2">
        <v>25</v>
      </c>
      <c r="D24" s="1" t="s">
        <v>1</v>
      </c>
      <c r="E24" s="2" t="s">
        <v>21</v>
      </c>
      <c r="F24" s="2"/>
      <c r="G24" s="2">
        <v>1200</v>
      </c>
      <c r="H24" s="3">
        <v>6473.46</v>
      </c>
    </row>
    <row r="25" spans="1:9" x14ac:dyDescent="0.25">
      <c r="A25" s="1" t="s">
        <v>53</v>
      </c>
      <c r="B25" s="1" t="s">
        <v>46</v>
      </c>
      <c r="C25" s="2">
        <v>15</v>
      </c>
      <c r="D25" s="1" t="s">
        <v>5</v>
      </c>
      <c r="E25" s="2" t="s">
        <v>32</v>
      </c>
      <c r="F25" s="9">
        <v>2265.48</v>
      </c>
      <c r="G25" s="2"/>
      <c r="H25" s="3">
        <v>27585.86</v>
      </c>
      <c r="I25" s="2" t="str">
        <f>IFERROR(INDEX(ListarHojas,ROW()),"")</f>
        <v/>
      </c>
    </row>
    <row r="26" spans="1:9" x14ac:dyDescent="0.25">
      <c r="A26" s="1" t="s">
        <v>53</v>
      </c>
      <c r="B26" s="1" t="s">
        <v>46</v>
      </c>
      <c r="C26" s="2">
        <v>15</v>
      </c>
      <c r="D26" s="1" t="s">
        <v>6</v>
      </c>
      <c r="E26" s="2" t="s">
        <v>39</v>
      </c>
      <c r="F26" s="9">
        <v>1500</v>
      </c>
      <c r="G26" s="2"/>
      <c r="H26" s="3">
        <v>7536.86</v>
      </c>
    </row>
    <row r="27" spans="1:9" x14ac:dyDescent="0.25">
      <c r="A27" s="1" t="s">
        <v>54</v>
      </c>
      <c r="B27" s="1" t="s">
        <v>46</v>
      </c>
      <c r="C27" s="2">
        <v>15</v>
      </c>
      <c r="D27" s="1" t="s">
        <v>5</v>
      </c>
      <c r="E27" s="2" t="s">
        <v>33</v>
      </c>
      <c r="F27" s="9">
        <v>2996.28</v>
      </c>
      <c r="G27" s="2"/>
      <c r="H27" s="3">
        <v>47634.86</v>
      </c>
    </row>
    <row r="28" spans="1:9" x14ac:dyDescent="0.25">
      <c r="A28" s="1" t="s">
        <v>54</v>
      </c>
      <c r="B28" s="1" t="s">
        <v>46</v>
      </c>
      <c r="C28" s="2">
        <v>15</v>
      </c>
      <c r="D28" s="1" t="s">
        <v>5</v>
      </c>
      <c r="E28" s="2" t="s">
        <v>34</v>
      </c>
      <c r="F28" s="3">
        <v>2143.6799999999998</v>
      </c>
      <c r="G28" s="2"/>
      <c r="H28" s="3">
        <v>60963.86</v>
      </c>
    </row>
    <row r="29" spans="1:9" x14ac:dyDescent="0.25">
      <c r="A29" s="1" t="s">
        <v>47</v>
      </c>
      <c r="B29" s="1" t="s">
        <v>46</v>
      </c>
      <c r="C29" s="2">
        <v>32</v>
      </c>
      <c r="D29" s="1" t="s">
        <v>2</v>
      </c>
      <c r="E29" s="2" t="s">
        <v>22</v>
      </c>
      <c r="F29" s="13">
        <v>1600</v>
      </c>
      <c r="G29" s="2"/>
      <c r="H29" s="3">
        <v>62847.54</v>
      </c>
      <c r="I29" s="2" t="str">
        <f>IFERROR(INDEX(ListarHojas,ROW()),"")</f>
        <v/>
      </c>
    </row>
    <row r="30" spans="1:9" x14ac:dyDescent="0.25">
      <c r="A30" s="1" t="s">
        <v>50</v>
      </c>
      <c r="B30" s="1" t="s">
        <v>46</v>
      </c>
      <c r="C30" s="2">
        <v>45</v>
      </c>
      <c r="D30" s="1" t="s">
        <v>0</v>
      </c>
      <c r="E30" s="2" t="s">
        <v>25</v>
      </c>
      <c r="F30" s="13"/>
      <c r="G30" s="2">
        <v>7800</v>
      </c>
      <c r="H30" s="3">
        <v>63505.04</v>
      </c>
      <c r="I30" s="2" t="str">
        <f>IFERROR(INDEX(ListarHojas,ROW()),"")</f>
        <v/>
      </c>
    </row>
    <row r="31" spans="1:9" x14ac:dyDescent="0.25">
      <c r="A31" s="1" t="s">
        <v>44</v>
      </c>
      <c r="B31" s="1" t="s">
        <v>43</v>
      </c>
      <c r="C31" s="2">
        <v>25</v>
      </c>
      <c r="D31" s="1" t="s">
        <v>1</v>
      </c>
      <c r="E31" s="2" t="s">
        <v>19</v>
      </c>
      <c r="F31" s="13">
        <v>1500</v>
      </c>
      <c r="G31" s="2"/>
      <c r="H31" s="3">
        <v>63220.74</v>
      </c>
      <c r="I31" s="2" t="str">
        <f>IFERROR(INDEX(ListarHojas,ROW()),"")</f>
        <v/>
      </c>
    </row>
    <row r="32" spans="1:9" x14ac:dyDescent="0.25">
      <c r="A32" s="1" t="s">
        <v>44</v>
      </c>
      <c r="B32" s="1" t="s">
        <v>43</v>
      </c>
      <c r="C32" s="2">
        <v>45</v>
      </c>
      <c r="D32" s="1" t="s">
        <v>0</v>
      </c>
      <c r="E32" s="2" t="s">
        <v>26</v>
      </c>
      <c r="F32" s="13"/>
      <c r="G32" s="2"/>
      <c r="H32" s="3">
        <v>54359.82</v>
      </c>
      <c r="I32" s="2" t="str">
        <f>IFERROR(INDEX(ListarHojas,ROW()),"")</f>
        <v/>
      </c>
    </row>
    <row r="33" spans="1:8" x14ac:dyDescent="0.25">
      <c r="A33" s="1" t="s">
        <v>44</v>
      </c>
      <c r="B33" s="1" t="s">
        <v>43</v>
      </c>
      <c r="C33" s="2">
        <v>15</v>
      </c>
      <c r="D33" s="1" t="s">
        <v>6</v>
      </c>
      <c r="E33" s="2" t="s">
        <v>40</v>
      </c>
      <c r="F33" s="9">
        <v>8000</v>
      </c>
      <c r="G33" s="2"/>
      <c r="H33" s="3">
        <v>60157.279999999999</v>
      </c>
    </row>
    <row r="34" spans="1:8" x14ac:dyDescent="0.25">
      <c r="A34" s="1" t="s">
        <v>44</v>
      </c>
      <c r="B34" s="1" t="s">
        <v>43</v>
      </c>
      <c r="C34" s="2">
        <v>15</v>
      </c>
      <c r="D34" s="1" t="s">
        <v>6</v>
      </c>
      <c r="E34" s="2" t="s">
        <v>41</v>
      </c>
      <c r="F34" s="9">
        <v>455.63</v>
      </c>
      <c r="G34" s="2"/>
      <c r="H34" s="3">
        <v>57161</v>
      </c>
    </row>
    <row r="36" spans="1:8" x14ac:dyDescent="0.25">
      <c r="H36" s="3"/>
    </row>
    <row r="37" spans="1:8" x14ac:dyDescent="0.25">
      <c r="H37" s="3"/>
    </row>
    <row r="38" spans="1:8" x14ac:dyDescent="0.25">
      <c r="H38" s="5"/>
    </row>
    <row r="39" spans="1:8" x14ac:dyDescent="0.25">
      <c r="H39" s="3"/>
    </row>
    <row r="40" spans="1:8" x14ac:dyDescent="0.25">
      <c r="H40" s="3"/>
    </row>
    <row r="41" spans="1:8" x14ac:dyDescent="0.25">
      <c r="H41" s="3"/>
    </row>
    <row r="42" spans="1:8" x14ac:dyDescent="0.25">
      <c r="H42" s="3"/>
    </row>
  </sheetData>
  <sortState ref="A10:I34">
    <sortCondition ref="A1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parar_columnas">
                <anchor moveWithCells="1" sizeWithCells="1">
                  <from>
                    <xdr:col>13</xdr:col>
                    <xdr:colOff>0</xdr:colOff>
                    <xdr:row>8</xdr:row>
                    <xdr:rowOff>9525</xdr:rowOff>
                  </from>
                  <to>
                    <xdr:col>15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 2</dc:creator>
  <cp:lastModifiedBy>SOPORTE 2</cp:lastModifiedBy>
  <dcterms:created xsi:type="dcterms:W3CDTF">2019-03-12T21:21:11Z</dcterms:created>
  <dcterms:modified xsi:type="dcterms:W3CDTF">2019-03-13T20:46:01Z</dcterms:modified>
</cp:coreProperties>
</file>